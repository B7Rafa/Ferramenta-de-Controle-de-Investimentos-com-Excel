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raerogovbr-my.sharepoint.com/personal/t055901581_infraero_gov_br/Documents/"/>
    </mc:Choice>
  </mc:AlternateContent>
  <xr:revisionPtr revIDLastSave="388" documentId="8_{AF949163-17BB-415E-ABF0-030C2950A17D}" xr6:coauthVersionLast="47" xr6:coauthVersionMax="47" xr10:uidLastSave="{70CFBFC0-72D3-4794-B265-B183CBF29BAA}"/>
  <bookViews>
    <workbookView xWindow="-120" yWindow="-120" windowWidth="25440" windowHeight="15390" xr2:uid="{67EA4180-4873-47FA-B708-41B704BAE3D4}"/>
  </bookViews>
  <sheets>
    <sheet name="Planilha1" sheetId="1" r:id="rId1"/>
  </sheets>
  <definedNames>
    <definedName name="aporte">Planilha1!$D$18</definedName>
    <definedName name="patrimonio">Planilha1!$D$21</definedName>
    <definedName name="qtd_anos">Planilha1!$D$19</definedName>
    <definedName name="rendimento_carteira">Planilha1!$D$14</definedName>
    <definedName name="salario">Planilha1!$D$13</definedName>
    <definedName name="sugestao_investimento">Planilha1!$D$15</definedName>
    <definedName name="taxa_mensal">Planilha1!$D$20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C29" i="1"/>
  <c r="D29" i="1" s="1"/>
  <c r="C28" i="1"/>
  <c r="D28" i="1" s="1"/>
  <c r="C27" i="1"/>
  <c r="D27" i="1" s="1"/>
  <c r="C26" i="1"/>
  <c r="D26" i="1" s="1"/>
  <c r="C25" i="1"/>
  <c r="D25" i="1" s="1"/>
  <c r="D21" i="1"/>
  <c r="D22" i="1" s="1"/>
</calcChain>
</file>

<file path=xl/sharedStrings.xml><?xml version="1.0" encoding="utf-8"?>
<sst xmlns="http://schemas.openxmlformats.org/spreadsheetml/2006/main" count="17" uniqueCount="17">
  <si>
    <t>INVESTIMENTO MENSAL</t>
  </si>
  <si>
    <t>CONFIGURAÇÕES</t>
  </si>
  <si>
    <t>Quanto Investir por mês?</t>
  </si>
  <si>
    <t>Salário</t>
  </si>
  <si>
    <t>Por Quantos Anos?</t>
  </si>
  <si>
    <t>Rendimento Carteira</t>
  </si>
  <si>
    <t>Taxa de Rendimento Mensal?</t>
  </si>
  <si>
    <t>Sugestão de Investimento</t>
  </si>
  <si>
    <t>Património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</si>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</sst>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164" fontId="4" fillId="3" borderId="20" xfId="1" applyNumberFormat="1" applyFont="1" applyFill="1" applyBorder="1" applyAlignment="1">
      <alignment horizontal="center" vertical="center"/>
    </xf>
    <xf numFmtId="10" fontId="4" fillId="3" borderId="20" xfId="0" applyNumberFormat="1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164" fontId="4" fillId="3" borderId="19" xfId="1" applyNumberFormat="1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10" fontId="4" fillId="3" borderId="2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164" fontId="4" fillId="4" borderId="6" xfId="1" applyNumberFormat="1" applyFont="1" applyFill="1" applyBorder="1" applyAlignment="1">
      <alignment horizontal="center"/>
    </xf>
    <xf numFmtId="164" fontId="4" fillId="4" borderId="11" xfId="1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8" fontId="4" fillId="4" borderId="8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8" fontId="4" fillId="4" borderId="10" xfId="0" applyNumberFormat="1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164" fontId="4" fillId="4" borderId="22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238126</xdr:colOff>
      <xdr:row>0</xdr:row>
      <xdr:rowOff>79374</xdr:rowOff>
    </xdr:from>
    <xdr:to>
      <xdr:col>4</xdr:col>
      <xdr:colOff>1111249</xdr:colOff>
      <xdr:row>10</xdr:row>
      <xdr:rowOff>7938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9309D6-5B29-4544-BABE-AA2991923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1895"/>
        <a:stretch>
          <a:fillRect/>
        </a:stretch>
      </xdr:blipFill>
      <xdr:spPr>
        <a:xfrm>
          <a:off x="238126" y="79374"/>
          <a:ext cx="10398123" cy="183356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6882-C946-420C-85C9-C73351E912F5}">
  <dimension ref="B10:F29"/>
  <sheetViews>
    <sheetView showGridLines="0" tabSelected="1" zoomScale="120" zoomScaleNormal="120" workbookViewId="0">
      <selection activeCell="E12" sqref="E12"/>
    </sheetView>
  </sheetViews>
  <sheetFormatPr defaultColWidth="0" defaultRowHeight="15" x14ac:dyDescent="0.25"/>
  <cols>
    <col min="1" max="1" width="20.7109375" style="1" customWidth="1"/>
    <col min="2" max="4" width="40.7109375" style="1" customWidth="1"/>
    <col min="5" max="5" width="20.7109375" style="1" customWidth="1"/>
    <col min="6" max="6" width="0" style="1" hidden="1" customWidth="1"/>
    <col min="7" max="10" width="9.140625" style="1" hidden="1" customWidth="1"/>
    <col min="11" max="16384" width="9.140625" style="1" hidden="1"/>
  </cols>
  <sheetData>
    <row r="10" spans="2:5" x14ac:dyDescent="0.25">
      <c r="E10" s="2"/>
    </row>
    <row r="11" spans="2:5" ht="15.75" thickBot="1" x14ac:dyDescent="0.3"/>
    <row r="12" spans="2:5" ht="30" customHeight="1" x14ac:dyDescent="0.25">
      <c r="B12" s="3" t="s">
        <v>1</v>
      </c>
      <c r="C12" s="4"/>
      <c r="D12" s="5"/>
    </row>
    <row r="13" spans="2:5" ht="17.25" customHeight="1" x14ac:dyDescent="0.25">
      <c r="B13" s="7" t="s">
        <v>3</v>
      </c>
      <c r="C13" s="8"/>
      <c r="D13" s="9">
        <v>5000</v>
      </c>
    </row>
    <row r="14" spans="2:5" ht="15.75" x14ac:dyDescent="0.25">
      <c r="B14" s="7" t="s">
        <v>5</v>
      </c>
      <c r="C14" s="8"/>
      <c r="D14" s="10">
        <v>8.8999999999999999E-3</v>
      </c>
    </row>
    <row r="15" spans="2:5" ht="16.5" thickBot="1" x14ac:dyDescent="0.3">
      <c r="B15" s="11" t="s">
        <v>7</v>
      </c>
      <c r="C15" s="12"/>
      <c r="D15" s="26">
        <f>salario*30%</f>
        <v>1500</v>
      </c>
    </row>
    <row r="16" spans="2:5" ht="15.75" thickBot="1" x14ac:dyDescent="0.3"/>
    <row r="17" spans="2:4" ht="30" customHeight="1" x14ac:dyDescent="0.25">
      <c r="B17" s="3" t="s">
        <v>0</v>
      </c>
      <c r="C17" s="4"/>
      <c r="D17" s="5"/>
    </row>
    <row r="18" spans="2:4" ht="15.75" x14ac:dyDescent="0.25">
      <c r="B18" s="13" t="s">
        <v>2</v>
      </c>
      <c r="C18" s="14"/>
      <c r="D18" s="15">
        <v>500</v>
      </c>
    </row>
    <row r="19" spans="2:4" ht="15.75" x14ac:dyDescent="0.25">
      <c r="B19" s="13" t="s">
        <v>4</v>
      </c>
      <c r="C19" s="14"/>
      <c r="D19" s="16">
        <v>5</v>
      </c>
    </row>
    <row r="20" spans="2:4" ht="17.25" customHeight="1" x14ac:dyDescent="0.25">
      <c r="B20" s="13" t="s">
        <v>6</v>
      </c>
      <c r="C20" s="14"/>
      <c r="D20" s="17">
        <v>1.0789999999999999E-2</v>
      </c>
    </row>
    <row r="21" spans="2:4" ht="15.75" x14ac:dyDescent="0.25">
      <c r="B21" s="27" t="s">
        <v>8</v>
      </c>
      <c r="C21" s="28"/>
      <c r="D21" s="19">
        <f>FV(taxa_mensal,qtd_anos*12,aporte*-1)</f>
        <v>41888.456999243819</v>
      </c>
    </row>
    <row r="22" spans="2:4" ht="16.5" thickBot="1" x14ac:dyDescent="0.3">
      <c r="B22" s="29" t="s">
        <v>9</v>
      </c>
      <c r="C22" s="30"/>
      <c r="D22" s="31">
        <f>patrimonio*rendimento_carteira</f>
        <v>372.80726729327</v>
      </c>
    </row>
    <row r="23" spans="2:4" ht="15.75" thickBot="1" x14ac:dyDescent="0.3"/>
    <row r="24" spans="2:4" ht="30" customHeight="1" x14ac:dyDescent="0.25">
      <c r="B24" s="3" t="s">
        <v>10</v>
      </c>
      <c r="C24" s="5"/>
      <c r="D24" s="6" t="s">
        <v>11</v>
      </c>
    </row>
    <row r="25" spans="2:4" ht="15.75" x14ac:dyDescent="0.25">
      <c r="B25" s="18" t="s">
        <v>12</v>
      </c>
      <c r="C25" s="19">
        <f>FV(taxa_mensal,2*12,aporte*-1)</f>
        <v>13613.813648822608</v>
      </c>
      <c r="D25" s="20">
        <f>C25*rendimento_carteira</f>
        <v>121.16294147452122</v>
      </c>
    </row>
    <row r="26" spans="2:4" ht="15.75" x14ac:dyDescent="0.25">
      <c r="B26" s="21" t="s">
        <v>13</v>
      </c>
      <c r="C26" s="22">
        <f>FV(taxa_mensal,5*12,aporte*-1)</f>
        <v>41888.456999243819</v>
      </c>
      <c r="D26" s="20">
        <f>C26*rendimento_carteira</f>
        <v>372.80726729327</v>
      </c>
    </row>
    <row r="27" spans="2:4" ht="15.75" x14ac:dyDescent="0.25">
      <c r="B27" s="21" t="s">
        <v>14</v>
      </c>
      <c r="C27" s="22">
        <f>FV(taxa_mensal,10*12,aporte*-1)</f>
        <v>121642.1062650861</v>
      </c>
      <c r="D27" s="20">
        <f>C27*rendimento_carteira</f>
        <v>1082.6147457592663</v>
      </c>
    </row>
    <row r="28" spans="2:4" ht="15.75" x14ac:dyDescent="0.25">
      <c r="B28" s="21" t="s">
        <v>15</v>
      </c>
      <c r="C28" s="22">
        <f>FV(taxa_mensal,20*12,aporte*-1)</f>
        <v>562599.20004854025</v>
      </c>
      <c r="D28" s="20">
        <f>C28*rendimento_carteira</f>
        <v>5007.1328804320083</v>
      </c>
    </row>
    <row r="29" spans="2:4" ht="16.5" thickBot="1" x14ac:dyDescent="0.3">
      <c r="B29" s="23" t="s">
        <v>16</v>
      </c>
      <c r="C29" s="24">
        <f>FV(taxa_mensal,30*12,aporte*-1)</f>
        <v>2161084.8275023573</v>
      </c>
      <c r="D29" s="25">
        <f>C29*rendimento_carteira</f>
        <v>19233.65496477098</v>
      </c>
    </row>
  </sheetData>
  <mergeCells count="11">
    <mergeCell ref="B19:C19"/>
    <mergeCell ref="B24:C24"/>
    <mergeCell ref="B18:C18"/>
    <mergeCell ref="B20:C20"/>
    <mergeCell ref="B21:C21"/>
    <mergeCell ref="B22:C22"/>
    <mergeCell ref="B17:D17"/>
    <mergeCell ref="B13:C13"/>
    <mergeCell ref="B14:C14"/>
    <mergeCell ref="B15:C15"/>
    <mergeCell ref="B12:D1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7</vt:i4>
      </vt:variant>
    </vt:vector>
  </HeadingPairs>
  <TitlesOfParts>
    <vt:vector size="8" baseType="lpstr">
      <vt:lpstr>Planilha1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Breno Rafael Caldas da Silva</dc:creator>
  <cp:keywords/>
  <dc:description/>
  <cp:lastModifiedBy>Breno Rafael Caldas da Silva</cp:lastModifiedBy>
  <cp:revision/>
  <dcterms:created xsi:type="dcterms:W3CDTF">2026-10-23T14:43:22Z</dcterms:created>
  <dcterms:modified xsi:type="dcterms:W3CDTF">2026-10-26T13:52:56Z</dcterms:modified>
  <cp:category/>
  <cp:contentStatus/>
</cp:coreProperties>
</file>